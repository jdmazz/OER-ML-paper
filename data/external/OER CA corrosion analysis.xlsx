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<sst xmlns="http://schemas.openxmlformats.org/spreadsheetml/2006/main" count="78" uniqueCount="23">
  <si>
    <t>Sample</t>
  </si>
  <si>
    <t>Pt (mg/cm2)</t>
  </si>
  <si>
    <t>Pd (mg/cm2)</t>
  </si>
  <si>
    <t>Au (mg/cm2)</t>
  </si>
  <si>
    <t>Ir (mg/cm2)</t>
  </si>
  <si>
    <t>Si (mg/cm2)</t>
  </si>
  <si>
    <t>run9-22</t>
  </si>
  <si>
    <t>initial</t>
  </si>
  <si>
    <t>Estimated relative change in catalyst</t>
  </si>
  <si>
    <t>Estimated mass loss (mg/cm^2)</t>
  </si>
  <si>
    <t>final (3Hr)</t>
  </si>
  <si>
    <t>estimated error</t>
  </si>
  <si>
    <t>estimated error (mg/cm^2)</t>
  </si>
  <si>
    <t>Difference</t>
  </si>
  <si>
    <t>% Difference</t>
  </si>
  <si>
    <t>std</t>
  </si>
  <si>
    <t>error</t>
  </si>
  <si>
    <t>%error</t>
  </si>
  <si>
    <t>run9-34</t>
  </si>
  <si>
    <t>run10-9</t>
  </si>
  <si>
    <t>run10-34</t>
  </si>
  <si>
    <t>run11-12</t>
  </si>
  <si>
    <t>run11-18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</si>
</sst>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1" fillId="4" fontId="2" numFmtId="0" xfId="0" applyAlignment="1" applyBorder="1" applyFill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5" fontId="2" numFmtId="10" xfId="0" applyAlignment="1" applyBorder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11" width="12.63"/>
    <col customWidth="1" min="12" max="12" width="29.13"/>
    <col customWidth="1" min="14" max="14" width="24.5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3" t="s">
        <v>6</v>
      </c>
      <c r="B2" s="3" t="s">
        <v>7</v>
      </c>
      <c r="C2" s="4">
        <v>0.0472</v>
      </c>
      <c r="D2" s="4">
        <v>0.0187</v>
      </c>
      <c r="E2" s="4">
        <v>0.0565</v>
      </c>
      <c r="F2" s="4">
        <v>0.0117</v>
      </c>
      <c r="G2" s="4">
        <v>0.4502</v>
      </c>
      <c r="H2" s="5">
        <f>sum(C2:F2)</f>
        <v>0.1341</v>
      </c>
      <c r="I2" s="5">
        <f>sum(C3:F3)</f>
        <v>0.1297</v>
      </c>
      <c r="J2" s="5">
        <f>(I2-H2)/H2</f>
        <v>-0.03281133482</v>
      </c>
      <c r="K2" s="5">
        <f>(G2-G3)/G2</f>
        <v>-0.02887605509</v>
      </c>
      <c r="L2" s="6" t="s">
        <v>8</v>
      </c>
      <c r="M2" s="5">
        <f>(K2/K3^2+J2/J3^2)/(1/K3^2+1/J3^2)</f>
        <v>-0.02917185066</v>
      </c>
      <c r="N2" s="6" t="s">
        <v>9</v>
      </c>
      <c r="O2" s="5">
        <f>-(C2+D2+E2+F2)*M2</f>
        <v>0.003911945173</v>
      </c>
    </row>
    <row r="3">
      <c r="A3" s="7"/>
      <c r="B3" s="8" t="s">
        <v>10</v>
      </c>
      <c r="C3" s="9">
        <v>0.0459</v>
      </c>
      <c r="D3" s="9">
        <v>0.0193</v>
      </c>
      <c r="E3" s="9">
        <v>0.0532</v>
      </c>
      <c r="F3" s="9">
        <v>0.0113</v>
      </c>
      <c r="G3" s="9">
        <v>0.4632</v>
      </c>
      <c r="H3" s="5">
        <f>2*sqrt(C6^2+D6^2+E6^2+F6^2)/H2</f>
        <v>0.03823111387</v>
      </c>
      <c r="J3" s="5">
        <v>0.038231113866544125</v>
      </c>
      <c r="K3" s="5">
        <f>1.41*G6/G2</f>
        <v>0.01089915593</v>
      </c>
      <c r="L3" s="6" t="s">
        <v>11</v>
      </c>
      <c r="M3" s="5">
        <f>1/sqrt(1/J3^2+1/K3^2)</f>
        <v>0.01048153716</v>
      </c>
      <c r="N3" s="6" t="s">
        <v>12</v>
      </c>
      <c r="O3" s="5">
        <f>(C2+D2+E2+F2)*M3</f>
        <v>0.001405574134</v>
      </c>
    </row>
    <row r="4">
      <c r="A4" s="7"/>
      <c r="B4" s="8" t="s">
        <v>13</v>
      </c>
      <c r="C4" s="10">
        <v>-0.0013</v>
      </c>
      <c r="D4" s="10">
        <v>6.0E-4</v>
      </c>
      <c r="E4" s="10">
        <v>-0.0033</v>
      </c>
      <c r="F4" s="10">
        <v>-4.0E-4</v>
      </c>
      <c r="G4" s="10">
        <v>0.013</v>
      </c>
    </row>
    <row r="5">
      <c r="A5" s="7"/>
      <c r="B5" s="8" t="s">
        <v>14</v>
      </c>
      <c r="C5" s="11">
        <v>-0.028</v>
      </c>
      <c r="D5" s="11">
        <v>0.032</v>
      </c>
      <c r="E5" s="11">
        <v>-0.058</v>
      </c>
      <c r="F5" s="11">
        <v>-0.034</v>
      </c>
      <c r="G5" s="11">
        <v>0.029</v>
      </c>
    </row>
    <row r="6">
      <c r="A6" s="7"/>
      <c r="B6" s="8" t="s">
        <v>15</v>
      </c>
      <c r="C6" s="12">
        <v>8.1E-4</v>
      </c>
      <c r="D6" s="12">
        <v>0.00126</v>
      </c>
      <c r="E6" s="12">
        <v>0.00117</v>
      </c>
      <c r="F6" s="12">
        <v>0.00172</v>
      </c>
      <c r="G6" s="12">
        <v>0.00348</v>
      </c>
    </row>
    <row r="7">
      <c r="A7" s="8" t="s">
        <v>16</v>
      </c>
      <c r="B7" s="8" t="s">
        <v>17</v>
      </c>
      <c r="C7" s="13">
        <v>0.024</v>
      </c>
      <c r="D7" s="13">
        <v>0.095</v>
      </c>
      <c r="E7" s="13">
        <v>0.029</v>
      </c>
      <c r="F7" s="13">
        <v>0.208</v>
      </c>
      <c r="G7" s="13">
        <v>0.011</v>
      </c>
    </row>
    <row r="8">
      <c r="A8" s="3" t="s">
        <v>18</v>
      </c>
      <c r="B8" s="3" t="s">
        <v>7</v>
      </c>
      <c r="C8" s="4">
        <v>0.0717</v>
      </c>
      <c r="D8" s="4">
        <v>0.0107</v>
      </c>
      <c r="E8" s="4">
        <v>0.0198</v>
      </c>
      <c r="F8" s="4">
        <v>0.0029</v>
      </c>
      <c r="G8" s="4">
        <v>0.5212</v>
      </c>
      <c r="H8" s="5">
        <f>sum(C8:F8)</f>
        <v>0.1051</v>
      </c>
      <c r="I8" s="5">
        <f>sum(C9:F9)</f>
        <v>0.1037</v>
      </c>
      <c r="J8" s="5">
        <f>(I8-H8)/H8</f>
        <v>-0.013320647</v>
      </c>
      <c r="K8" s="5">
        <f>(G8-G9)/G8</f>
        <v>-0.01918649271</v>
      </c>
      <c r="L8" s="6" t="s">
        <v>8</v>
      </c>
      <c r="M8" s="5">
        <f>(K8/K9^2+J8/J9^2)/(1/K9^2+1/J9^2)</f>
        <v>-0.0189758483</v>
      </c>
      <c r="N8" s="6" t="s">
        <v>9</v>
      </c>
      <c r="O8" s="5">
        <f>-(C8+D8+E8+F8)*M8</f>
        <v>0.001994361656</v>
      </c>
    </row>
    <row r="9">
      <c r="A9" s="7"/>
      <c r="B9" s="8" t="s">
        <v>10</v>
      </c>
      <c r="C9" s="9">
        <v>0.0705</v>
      </c>
      <c r="D9" s="9">
        <v>0.0114</v>
      </c>
      <c r="E9" s="9">
        <v>0.0195</v>
      </c>
      <c r="F9" s="9">
        <v>0.0023</v>
      </c>
      <c r="G9" s="9">
        <v>0.5312</v>
      </c>
      <c r="H9" s="5">
        <f>2*sqrt(C12^2+D12^2+E12^2+F12^2)/H8</f>
        <v>0.04878013672</v>
      </c>
      <c r="J9" s="5">
        <v>0.048780136722203306</v>
      </c>
      <c r="K9" s="5">
        <f>1.41*G12/G8</f>
        <v>0.009414428243</v>
      </c>
      <c r="L9" s="6" t="s">
        <v>11</v>
      </c>
      <c r="M9" s="5">
        <f>1/sqrt(1/J9^2+1/K9^2)</f>
        <v>0.009243845242</v>
      </c>
      <c r="N9" s="6" t="s">
        <v>12</v>
      </c>
      <c r="O9" s="5">
        <f>(C8+D8+E8+F8)*M9</f>
        <v>0.0009715281349</v>
      </c>
    </row>
    <row r="10">
      <c r="A10" s="7"/>
      <c r="B10" s="8" t="s">
        <v>13</v>
      </c>
      <c r="C10" s="10">
        <v>-0.0012</v>
      </c>
      <c r="D10" s="10">
        <v>7.0E-4</v>
      </c>
      <c r="E10" s="10">
        <v>-3.0E-4</v>
      </c>
      <c r="F10" s="10">
        <v>-6.0E-4</v>
      </c>
      <c r="G10" s="10">
        <v>0.01</v>
      </c>
    </row>
    <row r="11">
      <c r="A11" s="7"/>
      <c r="B11" s="8" t="s">
        <v>14</v>
      </c>
      <c r="C11" s="11">
        <v>-0.017</v>
      </c>
      <c r="D11" s="11">
        <v>0.065</v>
      </c>
      <c r="E11" s="11">
        <v>-0.015</v>
      </c>
      <c r="F11" s="11">
        <v>-0.207</v>
      </c>
      <c r="G11" s="11">
        <v>0.019</v>
      </c>
    </row>
    <row r="12">
      <c r="A12" s="7"/>
      <c r="B12" s="8" t="s">
        <v>15</v>
      </c>
      <c r="C12" s="12">
        <v>8.1E-4</v>
      </c>
      <c r="D12" s="12">
        <v>0.00126</v>
      </c>
      <c r="E12" s="12">
        <v>0.00117</v>
      </c>
      <c r="F12" s="12">
        <v>0.00172</v>
      </c>
      <c r="G12" s="12">
        <v>0.00348</v>
      </c>
    </row>
    <row r="13">
      <c r="A13" s="8" t="s">
        <v>16</v>
      </c>
      <c r="B13" s="8" t="s">
        <v>17</v>
      </c>
      <c r="C13" s="13">
        <v>0.016</v>
      </c>
      <c r="D13" s="13">
        <v>0.167</v>
      </c>
      <c r="E13" s="13">
        <v>0.084</v>
      </c>
      <c r="F13" s="13">
        <v>0.839</v>
      </c>
      <c r="G13" s="13">
        <v>0.009</v>
      </c>
    </row>
    <row r="14">
      <c r="A14" s="3" t="s">
        <v>19</v>
      </c>
      <c r="B14" s="3" t="s">
        <v>7</v>
      </c>
      <c r="C14" s="4">
        <v>0.0263</v>
      </c>
      <c r="D14" s="4">
        <v>0.0298</v>
      </c>
      <c r="E14" s="4">
        <v>0.0685</v>
      </c>
      <c r="F14" s="4">
        <v>0.0289</v>
      </c>
      <c r="G14" s="4">
        <v>0.4063</v>
      </c>
      <c r="H14" s="5">
        <f>sum(C14:F14)</f>
        <v>0.1535</v>
      </c>
      <c r="I14" s="5">
        <f>sum(C15:F15)</f>
        <v>0.147</v>
      </c>
      <c r="J14" s="5">
        <f>(I14-H14)/H14</f>
        <v>-0.04234527687</v>
      </c>
      <c r="K14" s="5">
        <f>(G14-G15)/G14</f>
        <v>-0.08318976126</v>
      </c>
      <c r="L14" s="6" t="s">
        <v>8</v>
      </c>
      <c r="M14" s="5">
        <f>(K14/K15^2+J14/J15^2)/(1/K15^2+1/J15^2)</f>
        <v>-0.07846699195</v>
      </c>
      <c r="N14" s="6" t="s">
        <v>9</v>
      </c>
      <c r="O14" s="5">
        <f>-(C14+D14+E14+F14)*M14</f>
        <v>0.01204468326</v>
      </c>
    </row>
    <row r="15">
      <c r="A15" s="7"/>
      <c r="B15" s="8" t="s">
        <v>10</v>
      </c>
      <c r="C15" s="9">
        <v>0.0253</v>
      </c>
      <c r="D15" s="9">
        <v>0.0274</v>
      </c>
      <c r="E15" s="9">
        <v>0.0678</v>
      </c>
      <c r="F15" s="9">
        <v>0.0265</v>
      </c>
      <c r="G15" s="9">
        <v>0.4401</v>
      </c>
      <c r="H15" s="5">
        <f>2*sqrt(C18^2+D18^2+E18^2+F18^2)/H14</f>
        <v>0.03339929882</v>
      </c>
      <c r="J15" s="5">
        <v>0.033399298824127475</v>
      </c>
      <c r="K15" s="5">
        <f>1.41*G18/G14</f>
        <v>0.01207679055</v>
      </c>
      <c r="L15" s="6" t="s">
        <v>11</v>
      </c>
      <c r="M15" s="5">
        <f>1/sqrt(1/J15^2+1/K15^2)</f>
        <v>0.01135714071</v>
      </c>
      <c r="N15" s="6" t="s">
        <v>12</v>
      </c>
      <c r="O15" s="5">
        <f>(C14+D14+E14+F14)*M15</f>
        <v>0.001743321099</v>
      </c>
    </row>
    <row r="16">
      <c r="A16" s="7"/>
      <c r="B16" s="8" t="s">
        <v>13</v>
      </c>
      <c r="C16" s="10">
        <v>-0.001</v>
      </c>
      <c r="D16" s="10">
        <v>-0.0024</v>
      </c>
      <c r="E16" s="10">
        <v>-7.0E-4</v>
      </c>
      <c r="F16" s="10">
        <v>-0.0024</v>
      </c>
      <c r="G16" s="10">
        <v>0.0338</v>
      </c>
    </row>
    <row r="17">
      <c r="A17" s="7"/>
      <c r="B17" s="8" t="s">
        <v>14</v>
      </c>
      <c r="C17" s="11">
        <v>-0.038</v>
      </c>
      <c r="D17" s="11">
        <v>-0.081</v>
      </c>
      <c r="E17" s="11">
        <v>-0.01</v>
      </c>
      <c r="F17" s="11">
        <v>-0.083</v>
      </c>
      <c r="G17" s="11">
        <v>0.083</v>
      </c>
    </row>
    <row r="18">
      <c r="A18" s="7"/>
      <c r="B18" s="8" t="s">
        <v>15</v>
      </c>
      <c r="C18" s="12">
        <v>8.1E-4</v>
      </c>
      <c r="D18" s="12">
        <v>0.00126</v>
      </c>
      <c r="E18" s="12">
        <v>0.00117</v>
      </c>
      <c r="F18" s="12">
        <v>0.00172</v>
      </c>
      <c r="G18" s="12">
        <v>0.00348</v>
      </c>
    </row>
    <row r="19">
      <c r="A19" s="8" t="s">
        <v>16</v>
      </c>
      <c r="B19" s="8" t="s">
        <v>17</v>
      </c>
      <c r="C19" s="13">
        <v>0.044</v>
      </c>
      <c r="D19" s="13">
        <v>0.06</v>
      </c>
      <c r="E19" s="13">
        <v>0.024</v>
      </c>
      <c r="F19" s="13">
        <v>0.084</v>
      </c>
      <c r="G19" s="13">
        <v>0.012</v>
      </c>
    </row>
    <row r="20">
      <c r="A20" s="3" t="s">
        <v>20</v>
      </c>
      <c r="B20" s="3" t="s">
        <v>7</v>
      </c>
      <c r="C20" s="4">
        <v>0.0687</v>
      </c>
      <c r="D20" s="4">
        <v>0.0109</v>
      </c>
      <c r="E20" s="4">
        <v>0.033</v>
      </c>
      <c r="F20" s="4">
        <v>0.0043</v>
      </c>
      <c r="G20" s="4">
        <v>0.4917</v>
      </c>
      <c r="H20" s="5">
        <f>sum(C20:F20)</f>
        <v>0.1169</v>
      </c>
      <c r="I20" s="5">
        <f>sum(C21:F21)</f>
        <v>0.1167</v>
      </c>
      <c r="J20" s="5">
        <f>(I20-H20)/H20</f>
        <v>-0.001710863986</v>
      </c>
      <c r="K20" s="5">
        <f>(G20-G21)/G20</f>
        <v>-0.01504982713</v>
      </c>
      <c r="L20" s="6" t="s">
        <v>8</v>
      </c>
      <c r="M20" s="5">
        <f>(K20/K21^2+J20/J21^2)/(1/K21^2+1/J21^2)</f>
        <v>-0.01439317945</v>
      </c>
      <c r="N20" s="6" t="s">
        <v>9</v>
      </c>
      <c r="O20" s="5">
        <f>-(C20+D20+E20+F20)*M20</f>
        <v>0.001682562678</v>
      </c>
    </row>
    <row r="21">
      <c r="A21" s="7"/>
      <c r="B21" s="8" t="s">
        <v>10</v>
      </c>
      <c r="C21" s="9">
        <v>0.0687</v>
      </c>
      <c r="D21" s="9">
        <v>0.0137</v>
      </c>
      <c r="E21" s="9">
        <v>0.0303</v>
      </c>
      <c r="F21" s="9">
        <v>0.004</v>
      </c>
      <c r="G21" s="9">
        <v>0.4991</v>
      </c>
      <c r="H21" s="5">
        <f>2*sqrt(C24^2+D24^2+E24^2+F24^2)/H20</f>
        <v>0.04385622215</v>
      </c>
      <c r="J21" s="5">
        <v>0.04385622215144198</v>
      </c>
      <c r="K21" s="5">
        <f>1.41*G24/G20</f>
        <v>0.009979255644</v>
      </c>
      <c r="L21" s="6" t="s">
        <v>11</v>
      </c>
      <c r="M21" s="5">
        <f>1/sqrt(1/J21^2+1/K21^2)</f>
        <v>0.00973052758</v>
      </c>
      <c r="N21" s="6" t="s">
        <v>12</v>
      </c>
      <c r="O21" s="5">
        <f>(C20+D20+E20+F20)*M21</f>
        <v>0.001137498674</v>
      </c>
    </row>
    <row r="22">
      <c r="A22" s="7"/>
      <c r="B22" s="8" t="s">
        <v>13</v>
      </c>
      <c r="C22" s="10">
        <v>0.0</v>
      </c>
      <c r="D22" s="10">
        <v>0.0028</v>
      </c>
      <c r="E22" s="10">
        <v>-0.0027</v>
      </c>
      <c r="F22" s="10">
        <v>-3.0E-4</v>
      </c>
      <c r="G22" s="10">
        <v>0.0074</v>
      </c>
    </row>
    <row r="23">
      <c r="A23" s="7"/>
      <c r="B23" s="8" t="s">
        <v>14</v>
      </c>
      <c r="C23" s="11">
        <v>0.0</v>
      </c>
      <c r="D23" s="11">
        <v>0.257</v>
      </c>
      <c r="E23" s="11">
        <v>-0.082</v>
      </c>
      <c r="F23" s="11">
        <v>-0.07</v>
      </c>
      <c r="G23" s="11">
        <v>0.015</v>
      </c>
    </row>
    <row r="24">
      <c r="A24" s="7"/>
      <c r="B24" s="8" t="s">
        <v>15</v>
      </c>
      <c r="C24" s="12">
        <v>8.1E-4</v>
      </c>
      <c r="D24" s="12">
        <v>0.00126</v>
      </c>
      <c r="E24" s="12">
        <v>0.00117</v>
      </c>
      <c r="F24" s="12">
        <v>0.00172</v>
      </c>
      <c r="G24" s="12">
        <v>0.00348</v>
      </c>
    </row>
    <row r="25">
      <c r="A25" s="8" t="s">
        <v>16</v>
      </c>
      <c r="B25" s="8" t="s">
        <v>17</v>
      </c>
      <c r="C25" s="13">
        <v>0.017</v>
      </c>
      <c r="D25" s="13">
        <v>0.163</v>
      </c>
      <c r="E25" s="13">
        <v>0.05</v>
      </c>
      <c r="F25" s="13">
        <v>0.566</v>
      </c>
      <c r="G25" s="13">
        <v>0.01</v>
      </c>
    </row>
    <row r="26">
      <c r="A26" s="3" t="s">
        <v>21</v>
      </c>
      <c r="B26" s="3" t="s">
        <v>7</v>
      </c>
      <c r="C26" s="4">
        <v>0.0105</v>
      </c>
      <c r="D26" s="4">
        <v>0.0272</v>
      </c>
      <c r="E26" s="4">
        <v>0.0654</v>
      </c>
      <c r="F26" s="4">
        <v>0.1432</v>
      </c>
      <c r="G26" s="4">
        <v>0.2898</v>
      </c>
      <c r="H26" s="5">
        <f>sum(C26:F26)</f>
        <v>0.2463</v>
      </c>
      <c r="I26" s="5">
        <f>sum(C27:F27)</f>
        <v>0.2423</v>
      </c>
      <c r="J26" s="5">
        <f>(I26-H26)/H26</f>
        <v>-0.01624035729</v>
      </c>
      <c r="K26" s="5">
        <f>(G26-G27)/G26</f>
        <v>-0.02346445825</v>
      </c>
      <c r="L26" s="6" t="s">
        <v>8</v>
      </c>
      <c r="M26" s="5">
        <f>(K26/K27^2+J26/J27^2)/(1/K27^2+1/J27^2)</f>
        <v>-0.02058786811</v>
      </c>
      <c r="N26" s="6" t="s">
        <v>9</v>
      </c>
      <c r="O26" s="5">
        <f>-(C26+D26+E26+F26)*M26</f>
        <v>0.005070791915</v>
      </c>
    </row>
    <row r="27">
      <c r="A27" s="7"/>
      <c r="B27" s="8" t="s">
        <v>10</v>
      </c>
      <c r="C27" s="9">
        <v>0.0111</v>
      </c>
      <c r="D27" s="9">
        <v>0.0284</v>
      </c>
      <c r="E27" s="9">
        <v>0.0603</v>
      </c>
      <c r="F27" s="9">
        <v>0.1425</v>
      </c>
      <c r="G27" s="9">
        <v>0.2966</v>
      </c>
      <c r="H27" s="5">
        <f>2*sqrt(C30^2+D30^2+E30^2+F30^2)/H26</f>
        <v>0.02081523496</v>
      </c>
      <c r="J27" s="5">
        <v>0.020815234955353503</v>
      </c>
      <c r="K27" s="5">
        <f>1.41*G30/G26</f>
        <v>0.01693167702</v>
      </c>
      <c r="L27" s="6" t="s">
        <v>11</v>
      </c>
      <c r="M27" s="5">
        <f>1/sqrt(1/J27^2+1/K27^2)</f>
        <v>0.01313494951</v>
      </c>
      <c r="N27" s="6" t="s">
        <v>12</v>
      </c>
      <c r="O27" s="5">
        <f>(C26+D26+E26+F26)*M27</f>
        <v>0.003235138065</v>
      </c>
    </row>
    <row r="28">
      <c r="A28" s="7"/>
      <c r="B28" s="8" t="s">
        <v>13</v>
      </c>
      <c r="C28" s="10">
        <v>6.0E-4</v>
      </c>
      <c r="D28" s="10">
        <v>0.0012</v>
      </c>
      <c r="E28" s="10">
        <v>-0.0051</v>
      </c>
      <c r="F28" s="10">
        <v>-7.0E-4</v>
      </c>
      <c r="G28" s="10">
        <v>0.0068</v>
      </c>
    </row>
    <row r="29">
      <c r="A29" s="7"/>
      <c r="B29" s="8" t="s">
        <v>14</v>
      </c>
      <c r="C29" s="11">
        <v>0.057</v>
      </c>
      <c r="D29" s="11">
        <v>0.044</v>
      </c>
      <c r="E29" s="11">
        <v>-0.078</v>
      </c>
      <c r="F29" s="11">
        <v>-0.005</v>
      </c>
      <c r="G29" s="11">
        <v>0.023</v>
      </c>
    </row>
    <row r="30">
      <c r="A30" s="7"/>
      <c r="B30" s="8" t="s">
        <v>15</v>
      </c>
      <c r="C30" s="12">
        <v>8.1E-4</v>
      </c>
      <c r="D30" s="12">
        <v>0.00126</v>
      </c>
      <c r="E30" s="12">
        <v>0.00117</v>
      </c>
      <c r="F30" s="12">
        <v>0.00172</v>
      </c>
      <c r="G30" s="12">
        <v>0.00348</v>
      </c>
    </row>
    <row r="31">
      <c r="A31" s="8" t="s">
        <v>16</v>
      </c>
      <c r="B31" s="8" t="s">
        <v>17</v>
      </c>
      <c r="C31" s="13">
        <v>0.109</v>
      </c>
      <c r="D31" s="13">
        <v>0.066</v>
      </c>
      <c r="E31" s="13">
        <v>0.025</v>
      </c>
      <c r="F31" s="13">
        <v>0.017</v>
      </c>
      <c r="G31" s="13">
        <v>0.017</v>
      </c>
    </row>
    <row r="32">
      <c r="A32" s="3" t="s">
        <v>22</v>
      </c>
      <c r="B32" s="3" t="s">
        <v>7</v>
      </c>
      <c r="C32" s="4">
        <v>0.016</v>
      </c>
      <c r="D32" s="4">
        <v>0.0213</v>
      </c>
      <c r="E32" s="4">
        <v>0.1158</v>
      </c>
      <c r="F32" s="4">
        <v>0.1267</v>
      </c>
      <c r="G32" s="4">
        <v>0.2359</v>
      </c>
      <c r="H32" s="5">
        <f>sum(C32:F32)</f>
        <v>0.2798</v>
      </c>
      <c r="I32" s="5">
        <f>sum(C33:F33)</f>
        <v>0.2705</v>
      </c>
      <c r="J32" s="5">
        <f>(I32-H32)/H32</f>
        <v>-0.03323802716</v>
      </c>
      <c r="K32" s="5">
        <f>(G32-G33)/G32</f>
        <v>-0.1106401017</v>
      </c>
      <c r="L32" s="6" t="s">
        <v>8</v>
      </c>
      <c r="M32" s="5">
        <f>(K32/K33^2+J32/J33^2)/(1/K33^2+1/J33^2)</f>
        <v>-0.0670575669</v>
      </c>
      <c r="N32" s="6" t="s">
        <v>9</v>
      </c>
      <c r="O32" s="5">
        <f>-(C32+D32+E32+F32)*M32</f>
        <v>0.01876270722</v>
      </c>
    </row>
    <row r="33">
      <c r="A33" s="7"/>
      <c r="B33" s="8" t="s">
        <v>10</v>
      </c>
      <c r="C33" s="9">
        <v>0.0156</v>
      </c>
      <c r="D33" s="9">
        <v>0.0231</v>
      </c>
      <c r="E33" s="9">
        <v>0.1093</v>
      </c>
      <c r="F33" s="9">
        <v>0.1225</v>
      </c>
      <c r="G33" s="9">
        <v>0.262</v>
      </c>
      <c r="H33" s="5">
        <f>2*sqrt(C36^2+D36^2+E36^2+F36^2)/H32</f>
        <v>0.01832306065</v>
      </c>
      <c r="J33" s="5">
        <v>0.018323060648690374</v>
      </c>
      <c r="K33" s="5">
        <f>1.41*G36/G32</f>
        <v>0.02080033913</v>
      </c>
      <c r="L33" s="6" t="s">
        <v>11</v>
      </c>
      <c r="M33" s="5">
        <f>1/sqrt(1/J33^2+1/K33^2)</f>
        <v>0.01374921685</v>
      </c>
      <c r="N33" s="6" t="s">
        <v>12</v>
      </c>
      <c r="O33" s="5">
        <f>(C32+D32+E32+F32)*M33</f>
        <v>0.003847030874</v>
      </c>
    </row>
    <row r="34">
      <c r="A34" s="7"/>
      <c r="B34" s="8" t="s">
        <v>13</v>
      </c>
      <c r="C34" s="10">
        <v>-4.0E-4</v>
      </c>
      <c r="D34" s="10">
        <v>0.0018</v>
      </c>
      <c r="E34" s="10">
        <v>-0.0065</v>
      </c>
      <c r="F34" s="10">
        <v>-0.0042</v>
      </c>
      <c r="G34" s="10">
        <v>0.0261</v>
      </c>
    </row>
    <row r="35">
      <c r="A35" s="7"/>
      <c r="B35" s="8" t="s">
        <v>14</v>
      </c>
      <c r="C35" s="11">
        <v>-0.025</v>
      </c>
      <c r="D35" s="11">
        <v>0.085</v>
      </c>
      <c r="E35" s="11">
        <v>-0.056</v>
      </c>
      <c r="F35" s="11">
        <v>-0.033</v>
      </c>
      <c r="G35" s="11">
        <v>0.111</v>
      </c>
    </row>
    <row r="36">
      <c r="A36" s="7"/>
      <c r="B36" s="8" t="s">
        <v>15</v>
      </c>
      <c r="C36" s="12">
        <v>8.1E-4</v>
      </c>
      <c r="D36" s="12">
        <v>0.00126</v>
      </c>
      <c r="E36" s="12">
        <v>0.00117</v>
      </c>
      <c r="F36" s="12">
        <v>0.00172</v>
      </c>
      <c r="G36" s="12">
        <v>0.00348</v>
      </c>
    </row>
    <row r="37">
      <c r="A37" s="8" t="s">
        <v>16</v>
      </c>
      <c r="B37" s="8" t="s">
        <v>17</v>
      </c>
      <c r="C37" s="13">
        <v>0.072</v>
      </c>
      <c r="D37" s="13">
        <v>0.084</v>
      </c>
      <c r="E37" s="13">
        <v>0.014</v>
      </c>
      <c r="F37" s="13">
        <v>0.019</v>
      </c>
      <c r="G37" s="13">
        <v>0.021</v>
      </c>
    </row>
  </sheetData>
  <drawing r:id="rId1"/>
</worksheet>
</file>