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Combinatorial Catalysis Project\2 Experiments\"/>
    </mc:Choice>
  </mc:AlternateContent>
  <xr:revisionPtr revIDLastSave="0" documentId="8_{E8039F78-1691-4230-BA82-55FA2BDE458E}" xr6:coauthVersionLast="47" xr6:coauthVersionMax="47" xr10:uidLastSave="{00000000-0000-0000-0000-000000000000}"/>
  <bookViews>
    <workbookView xWindow="31185" yWindow="435" windowWidth="26430" windowHeight="14265" xr2:uid="{14683DF8-A594-4875-B6FD-15478E707752}"/>
  </bookViews>
  <sheets>
    <sheet name="Comp Change avg STD" sheetId="1" r:id="rId1"/>
  </sheets>
  <definedNames>
    <definedName name="_xlchart.v1.0" hidden="1">'Comp Change avg STD'!$C$5:$F$5</definedName>
    <definedName name="_xlchart.v1.1" hidden="1">'Comp Change avg STD'!$C$5:$F$5</definedName>
    <definedName name="_xlchart.v1.2" hidden="1">'Comp Change avg STD'!$C$5:$F$5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C6" i="1"/>
  <c r="D6" i="1"/>
  <c r="E6" i="1"/>
  <c r="F6" i="1"/>
  <c r="G6" i="1"/>
  <c r="C8" i="1"/>
  <c r="D8" i="1"/>
  <c r="E8" i="1"/>
  <c r="F8" i="1"/>
  <c r="G8" i="1"/>
  <c r="C11" i="1"/>
  <c r="D11" i="1"/>
  <c r="E11" i="1"/>
  <c r="F11" i="1"/>
  <c r="G11" i="1"/>
  <c r="C12" i="1"/>
  <c r="D12" i="1"/>
  <c r="E12" i="1"/>
  <c r="F12" i="1"/>
  <c r="G12" i="1"/>
  <c r="C14" i="1"/>
  <c r="D14" i="1"/>
  <c r="E14" i="1"/>
  <c r="F14" i="1"/>
  <c r="G14" i="1"/>
  <c r="C17" i="1"/>
  <c r="D17" i="1"/>
  <c r="E17" i="1"/>
  <c r="F17" i="1"/>
  <c r="G17" i="1"/>
  <c r="C18" i="1"/>
  <c r="D18" i="1"/>
  <c r="E18" i="1"/>
  <c r="F18" i="1"/>
  <c r="G18" i="1"/>
  <c r="C20" i="1"/>
  <c r="D20" i="1"/>
  <c r="E20" i="1"/>
  <c r="F20" i="1"/>
  <c r="G20" i="1"/>
  <c r="C23" i="1"/>
  <c r="D23" i="1"/>
  <c r="E23" i="1"/>
  <c r="F23" i="1"/>
  <c r="G23" i="1"/>
  <c r="C24" i="1"/>
  <c r="D24" i="1"/>
  <c r="E24" i="1"/>
  <c r="F24" i="1"/>
  <c r="G24" i="1"/>
  <c r="C26" i="1"/>
  <c r="D26" i="1"/>
  <c r="E26" i="1"/>
  <c r="F26" i="1"/>
  <c r="G26" i="1"/>
  <c r="C29" i="1"/>
  <c r="D29" i="1"/>
  <c r="E29" i="1"/>
  <c r="F29" i="1"/>
  <c r="G29" i="1"/>
  <c r="C30" i="1"/>
  <c r="D30" i="1"/>
  <c r="E30" i="1"/>
  <c r="F30" i="1"/>
  <c r="G30" i="1"/>
  <c r="C32" i="1"/>
  <c r="D32" i="1"/>
  <c r="E32" i="1"/>
  <c r="F32" i="1"/>
  <c r="G32" i="1"/>
  <c r="C35" i="1"/>
  <c r="D35" i="1"/>
  <c r="E35" i="1"/>
  <c r="F35" i="1"/>
  <c r="G35" i="1"/>
  <c r="C36" i="1"/>
  <c r="D36" i="1"/>
  <c r="E36" i="1"/>
  <c r="F36" i="1"/>
  <c r="G36" i="1"/>
  <c r="C38" i="1"/>
  <c r="D38" i="1"/>
  <c r="E38" i="1"/>
  <c r="F38" i="1"/>
  <c r="G38" i="1"/>
</calcChain>
</file>

<file path=xl/sharedStrings.xml><?xml version="1.0" encoding="utf-8"?>
<sst xmlns="http://schemas.openxmlformats.org/spreadsheetml/2006/main" count="58" uniqueCount="23">
  <si>
    <t>%error</t>
  </si>
  <si>
    <t>error</t>
  </si>
  <si>
    <t>std</t>
  </si>
  <si>
    <t>% Difference</t>
  </si>
  <si>
    <t>Difference</t>
  </si>
  <si>
    <t>final (3Hr)</t>
  </si>
  <si>
    <t>initial</t>
  </si>
  <si>
    <t>run11-18</t>
  </si>
  <si>
    <t>run11-12</t>
  </si>
  <si>
    <t>run10-34</t>
  </si>
  <si>
    <t>run10-9</t>
  </si>
  <si>
    <t>run9-34</t>
  </si>
  <si>
    <t>run9-22</t>
  </si>
  <si>
    <t>Si (mg/cm2)</t>
  </si>
  <si>
    <t>Ir (mg/cm2)</t>
  </si>
  <si>
    <t>Au (mg/cm2)</t>
  </si>
  <si>
    <t>Pd (mg/cm2)</t>
  </si>
  <si>
    <t>Pt (mg/cm2)</t>
  </si>
  <si>
    <t>Sample</t>
  </si>
  <si>
    <t>Pt</t>
  </si>
  <si>
    <t>Pd</t>
  </si>
  <si>
    <t>Au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</si>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</sst>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5" borderId="0" xfId="0" applyFont="1" applyFill="1"/>
    <xf numFmtId="0" fontId="2" fillId="5" borderId="1" xfId="0" applyFont="1" applyFill="1" applyBorder="1" applyAlignment="1">
      <alignment horizontal="center" wrapText="1"/>
    </xf>
    <xf numFmtId="0" fontId="2" fillId="5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1905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1F8E9FE-093E-4774-AC5C-CD9D689A45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F90-4B0E-A17B-8D95C5FDC8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AFBA33B-C754-4322-8690-D7330D1D9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F90-4B0E-A17B-8D95C5FDC8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53BADD-C589-40E1-A4EB-862523C35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F90-4B0E-A17B-8D95C5FDC8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A12702D-DB2D-45D8-BE5B-58C0DB0BF2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F90-4B0E-A17B-8D95C5FDC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'Comp Change avg STD'!$C$5:$F$5</c:f>
              <c:numCache>
                <c:formatCode>General</c:formatCode>
                <c:ptCount val="4"/>
                <c:pt idx="0">
                  <c:v>-1.2999999999999956E-3</c:v>
                </c:pt>
                <c:pt idx="1">
                  <c:v>5.9999999999999984E-4</c:v>
                </c:pt>
                <c:pt idx="2">
                  <c:v>-3.3000000000000043E-3</c:v>
                </c:pt>
                <c:pt idx="3">
                  <c:v>-4.0000000000000105E-4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 Change avg STD'!$C$2:$F$2</c15:f>
                <c15:dlblRangeCache>
                  <c:ptCount val="4"/>
                  <c:pt idx="0">
                    <c:v>Pt</c:v>
                  </c:pt>
                  <c:pt idx="1">
                    <c:v>Pd</c:v>
                  </c:pt>
                  <c:pt idx="2">
                    <c:v>Au</c:v>
                  </c:pt>
                  <c:pt idx="3">
                    <c:v>Ir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F90-4B0E-A17B-8D95C5FDC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04590080"/>
        <c:axId val="1671946512"/>
      </c:barChart>
      <c:catAx>
        <c:axId val="190459008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6512"/>
        <c:crosses val="autoZero"/>
        <c:auto val="1"/>
        <c:lblAlgn val="ctr"/>
        <c:lblOffset val="100"/>
        <c:tickMarkSkip val="1"/>
        <c:noMultiLvlLbl val="0"/>
      </c:catAx>
      <c:valAx>
        <c:axId val="1671946512"/>
        <c:scaling>
          <c:orientation val="minMax"/>
          <c:max val="5.000000000000001E-3"/>
          <c:min val="-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 (mg/cm^2)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115966754155732"/>
          <c:y val="0.63888888888888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91426071741031"/>
          <c:y val="0.10226851851851854"/>
          <c:w val="0.83508573928258967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'Comp Change avg STD'!$C$13:$G$13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STD'!$C$13:$G$13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'Comp Change avg STD'!$C$11:$F$11</c:f>
              <c:numCache>
                <c:formatCode>General</c:formatCode>
                <c:ptCount val="4"/>
                <c:pt idx="0">
                  <c:v>-1.2000000000000066E-3</c:v>
                </c:pt>
                <c:pt idx="1">
                  <c:v>7.0000000000000097E-4</c:v>
                </c:pt>
                <c:pt idx="2">
                  <c:v>-3.0000000000000165E-4</c:v>
                </c:pt>
                <c:pt idx="3">
                  <c:v>-5.9999999999999984E-4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9-4DE0-AE97-DAC732310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501168"/>
        <c:axId val="1908598192"/>
      </c:scatterChart>
      <c:valAx>
        <c:axId val="200150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98192"/>
        <c:crosses val="autoZero"/>
        <c:crossBetween val="midCat"/>
      </c:valAx>
      <c:valAx>
        <c:axId val="19085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0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9-34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E4CFDAF-327C-4458-8E38-E9C2660689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9D4-43B6-9AC2-F38587BFCF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A228BC0-D25C-4602-B0B5-D26D7C88B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9D4-43B6-9AC2-F38587BFCF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CCAC9E-635A-4BFF-99CC-FFC27B24C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9D4-43B6-9AC2-F38587BFCF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5E7130-2013-40C9-8145-6ED0A3A9F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9D4-43B6-9AC2-F38587BFC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'Comp Change avg STD'!$C$11:$F$11</c:f>
              <c:numCache>
                <c:formatCode>General</c:formatCode>
                <c:ptCount val="4"/>
                <c:pt idx="0">
                  <c:v>-1.2000000000000066E-3</c:v>
                </c:pt>
                <c:pt idx="1">
                  <c:v>7.0000000000000097E-4</c:v>
                </c:pt>
                <c:pt idx="2">
                  <c:v>-3.0000000000000165E-4</c:v>
                </c:pt>
                <c:pt idx="3">
                  <c:v>-5.9999999999999984E-4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 Change avg STD'!$C$2:$F$2</c15:f>
                <c15:dlblRangeCache>
                  <c:ptCount val="4"/>
                  <c:pt idx="0">
                    <c:v>Pt</c:v>
                  </c:pt>
                  <c:pt idx="1">
                    <c:v>Pd</c:v>
                  </c:pt>
                  <c:pt idx="2">
                    <c:v>Au</c:v>
                  </c:pt>
                  <c:pt idx="3">
                    <c:v>Ir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9D4-43B6-9AC2-F38587BFCF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04590080"/>
        <c:axId val="1671946512"/>
      </c:barChart>
      <c:catAx>
        <c:axId val="190459008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6512"/>
        <c:crosses val="autoZero"/>
        <c:auto val="1"/>
        <c:lblAlgn val="ctr"/>
        <c:lblOffset val="100"/>
        <c:tickMarkSkip val="1"/>
        <c:noMultiLvlLbl val="0"/>
      </c:catAx>
      <c:valAx>
        <c:axId val="1671946512"/>
        <c:scaling>
          <c:orientation val="minMax"/>
          <c:max val="5.000000000000001E-3"/>
          <c:min val="-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  (mg/cm^2)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10-9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4D5228A-90A0-4580-ACD4-328234177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0A0-4604-915C-9AB2BC2C0F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FC5B6D-EBAB-4A02-BDE0-4F534B733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0A0-4604-915C-9AB2BC2C0F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484A11-E7C2-4949-B8C0-768F676EF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0A0-4604-915C-9AB2BC2C0F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D83F006-7376-40C5-811B-F4D3633994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0A0-4604-915C-9AB2BC2C0F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'Comp Change avg STD'!$C$17:$F$17</c:f>
              <c:numCache>
                <c:formatCode>General</c:formatCode>
                <c:ptCount val="4"/>
                <c:pt idx="0">
                  <c:v>-1.0000000000000009E-3</c:v>
                </c:pt>
                <c:pt idx="1">
                  <c:v>-2.3999999999999994E-3</c:v>
                </c:pt>
                <c:pt idx="2">
                  <c:v>-7.0000000000000617E-4</c:v>
                </c:pt>
                <c:pt idx="3">
                  <c:v>-2.3999999999999994E-3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 Change avg STD'!$C$2:$F$2</c15:f>
                <c15:dlblRangeCache>
                  <c:ptCount val="4"/>
                  <c:pt idx="0">
                    <c:v>Pt</c:v>
                  </c:pt>
                  <c:pt idx="1">
                    <c:v>Pd</c:v>
                  </c:pt>
                  <c:pt idx="2">
                    <c:v>Au</c:v>
                  </c:pt>
                  <c:pt idx="3">
                    <c:v>Ir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0A0-4604-915C-9AB2BC2C0F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04590080"/>
        <c:axId val="1671946512"/>
      </c:barChart>
      <c:catAx>
        <c:axId val="190459008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6512"/>
        <c:crosses val="autoZero"/>
        <c:auto val="1"/>
        <c:lblAlgn val="ctr"/>
        <c:lblOffset val="100"/>
        <c:tickMarkSkip val="1"/>
        <c:noMultiLvlLbl val="0"/>
      </c:catAx>
      <c:valAx>
        <c:axId val="1671946512"/>
        <c:scaling>
          <c:orientation val="minMax"/>
          <c:max val="5.000000000000001E-3"/>
          <c:min val="-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</a:t>
                </a:r>
                <a:r>
                  <a:rPr lang="en-US" baseline="0"/>
                  <a:t> </a:t>
                </a:r>
                <a:r>
                  <a:rPr lang="en-US"/>
                  <a:t> (mg/cm^2)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10-34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8A0CA94-0F61-470B-8EF7-EC2E988E8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76-4961-9342-1DEEDC7B77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C0E870-3FCB-4C7A-ADED-30B95C2B9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D76-4961-9342-1DEEDC7B77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340A69-9589-4DC9-92C4-70222EC8B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D76-4961-9342-1DEEDC7B77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9F9C1F-E15F-4193-AE71-4B6C7B2A8C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D76-4961-9342-1DEEDC7B7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'Comp Change avg STD'!$C$23:$F$23</c:f>
              <c:numCache>
                <c:formatCode>General</c:formatCode>
                <c:ptCount val="4"/>
                <c:pt idx="0">
                  <c:v>0</c:v>
                </c:pt>
                <c:pt idx="1">
                  <c:v>2.8000000000000004E-3</c:v>
                </c:pt>
                <c:pt idx="2">
                  <c:v>-2.700000000000001E-3</c:v>
                </c:pt>
                <c:pt idx="3">
                  <c:v>-2.9999999999999992E-4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 Change avg STD'!$C$2:$F$2</c15:f>
                <c15:dlblRangeCache>
                  <c:ptCount val="4"/>
                  <c:pt idx="0">
                    <c:v>Pt</c:v>
                  </c:pt>
                  <c:pt idx="1">
                    <c:v>Pd</c:v>
                  </c:pt>
                  <c:pt idx="2">
                    <c:v>Au</c:v>
                  </c:pt>
                  <c:pt idx="3">
                    <c:v>Ir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6D76-4961-9342-1DEEDC7B77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04590080"/>
        <c:axId val="1671946512"/>
      </c:barChart>
      <c:catAx>
        <c:axId val="190459008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6512"/>
        <c:crosses val="autoZero"/>
        <c:auto val="1"/>
        <c:lblAlgn val="ctr"/>
        <c:lblOffset val="100"/>
        <c:tickMarkSkip val="1"/>
        <c:noMultiLvlLbl val="0"/>
      </c:catAx>
      <c:valAx>
        <c:axId val="1671946512"/>
        <c:scaling>
          <c:orientation val="minMax"/>
          <c:max val="5.000000000000001E-3"/>
          <c:min val="-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 (mg/cm^2)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11-12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D5D3C16-A0B7-4261-83C0-D0CE574227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9AB-4C69-A207-817D74B0B8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A6277B-50D1-4BFA-B350-02971376CE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9AB-4C69-A207-817D74B0B8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5D6C02-7329-4BC7-8765-D63E41D84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9AB-4C69-A207-817D74B0B8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D6B9B86-722A-4EBE-A8BA-F710CA37D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9AB-4C69-A207-817D74B0B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'Comp Change avg STD'!$C$29:$F$29</c:f>
              <c:numCache>
                <c:formatCode>General</c:formatCode>
                <c:ptCount val="4"/>
                <c:pt idx="0">
                  <c:v>5.9999999999999984E-4</c:v>
                </c:pt>
                <c:pt idx="1">
                  <c:v>1.2000000000000031E-3</c:v>
                </c:pt>
                <c:pt idx="2">
                  <c:v>-5.1000000000000004E-3</c:v>
                </c:pt>
                <c:pt idx="3">
                  <c:v>-7.0000000000000617E-4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 Change avg STD'!$C$2:$F$2</c15:f>
                <c15:dlblRangeCache>
                  <c:ptCount val="4"/>
                  <c:pt idx="0">
                    <c:v>Pt</c:v>
                  </c:pt>
                  <c:pt idx="1">
                    <c:v>Pd</c:v>
                  </c:pt>
                  <c:pt idx="2">
                    <c:v>Au</c:v>
                  </c:pt>
                  <c:pt idx="3">
                    <c:v>Ir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E9AB-4C69-A207-817D74B0B8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04590080"/>
        <c:axId val="1671946512"/>
      </c:barChart>
      <c:catAx>
        <c:axId val="190459008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6512"/>
        <c:crosses val="autoZero"/>
        <c:auto val="1"/>
        <c:lblAlgn val="ctr"/>
        <c:lblOffset val="100"/>
        <c:tickMarkSkip val="1"/>
        <c:noMultiLvlLbl val="0"/>
      </c:catAx>
      <c:valAx>
        <c:axId val="1671946512"/>
        <c:scaling>
          <c:orientation val="minMax"/>
          <c:max val="5.000000000000001E-3"/>
          <c:min val="-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 (mg/cm^2)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11-18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D0CA2E3-BED9-41CE-B744-ACF489307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580-410B-BD2C-8B0A60E4233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7DD79C-B944-4B94-B037-C0632390E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580-410B-BD2C-8B0A60E4233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53B967-E2F5-4DD2-BD16-6FC93E065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580-410B-BD2C-8B0A60E4233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F51067-3A0E-4800-990F-929CF2402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580-410B-BD2C-8B0A60E423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plus>
            <c:minus>
              <c:numRef>
                <c:f>'Comp Change avg STD'!$C$7:$G$7</c:f>
                <c:numCache>
                  <c:formatCode>General</c:formatCode>
                  <c:ptCount val="5"/>
                  <c:pt idx="0">
                    <c:v>8.0999999999999996E-4</c:v>
                  </c:pt>
                  <c:pt idx="1">
                    <c:v>1.2600000000000001E-3</c:v>
                  </c:pt>
                  <c:pt idx="2">
                    <c:v>1.17E-3</c:v>
                  </c:pt>
                  <c:pt idx="3">
                    <c:v>1.72E-3</c:v>
                  </c:pt>
                  <c:pt idx="4">
                    <c:v>3.48E-3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'Comp Change avg STD'!$C$35:$F$35</c:f>
              <c:numCache>
                <c:formatCode>General</c:formatCode>
                <c:ptCount val="4"/>
                <c:pt idx="0">
                  <c:v>-4.0000000000000105E-4</c:v>
                </c:pt>
                <c:pt idx="1">
                  <c:v>1.7999999999999995E-3</c:v>
                </c:pt>
                <c:pt idx="2">
                  <c:v>-6.5000000000000058E-3</c:v>
                </c:pt>
                <c:pt idx="3">
                  <c:v>-4.2000000000000093E-3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'Comp Change avg STD'!$C$2:$F$2</c15:f>
                <c15:dlblRangeCache>
                  <c:ptCount val="4"/>
                  <c:pt idx="0">
                    <c:v>Pt</c:v>
                  </c:pt>
                  <c:pt idx="1">
                    <c:v>Pd</c:v>
                  </c:pt>
                  <c:pt idx="2">
                    <c:v>Au</c:v>
                  </c:pt>
                  <c:pt idx="3">
                    <c:v>Ir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580-410B-BD2C-8B0A60E423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04590080"/>
        <c:axId val="1671946512"/>
      </c:barChart>
      <c:catAx>
        <c:axId val="1904590080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6512"/>
        <c:crosses val="autoZero"/>
        <c:auto val="1"/>
        <c:lblAlgn val="ctr"/>
        <c:lblOffset val="100"/>
        <c:tickMarkSkip val="1"/>
        <c:noMultiLvlLbl val="0"/>
      </c:catAx>
      <c:valAx>
        <c:axId val="1671946512"/>
        <c:scaling>
          <c:orientation val="minMax"/>
          <c:max val="5.000000000000001E-3"/>
          <c:min val="-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 (mg/cm^2)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538162</xdr:colOff>
      <xdr:row>2</xdr:row>
      <xdr:rowOff>80962</xdr:rowOff>
    </xdr:from>
    <xdr:to>
      <xdr:col>15</xdr:col>
      <xdr:colOff>461962</xdr:colOff>
      <xdr:row>17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FE44DF-B8DD-1DB5-646B-EA392F5B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45</xdr:row>
      <xdr:rowOff>128587</xdr:rowOff>
    </xdr:from>
    <xdr:to>
      <xdr:col>17</xdr:col>
      <xdr:colOff>381000</xdr:colOff>
      <xdr:row>60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2C39DA-AAA2-D36A-B80A-4E02CB424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20</xdr:row>
      <xdr:rowOff>85725</xdr:rowOff>
    </xdr:from>
    <xdr:to>
      <xdr:col>15</xdr:col>
      <xdr:colOff>495300</xdr:colOff>
      <xdr:row>35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1CA646-25B7-4AE3-BF78-25F5C3479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95250</xdr:colOff>
      <xdr:row>2</xdr:row>
      <xdr:rowOff>95250</xdr:rowOff>
    </xdr:from>
    <xdr:to>
      <xdr:col>24</xdr:col>
      <xdr:colOff>19050</xdr:colOff>
      <xdr:row>17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386A03D-B97C-4C89-8D7A-727ADCBDE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171450</xdr:colOff>
      <xdr:row>20</xdr:row>
      <xdr:rowOff>76200</xdr:rowOff>
    </xdr:from>
    <xdr:to>
      <xdr:col>24</xdr:col>
      <xdr:colOff>95250</xdr:colOff>
      <xdr:row>35</xdr:row>
      <xdr:rowOff>104775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0CEDF3B-4030-435D-97C9-47ABBD54E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428625</xdr:colOff>
      <xdr:row>3</xdr:row>
      <xdr:rowOff>0</xdr:rowOff>
    </xdr:from>
    <xdr:to>
      <xdr:col>29</xdr:col>
      <xdr:colOff>571500</xdr:colOff>
      <xdr:row>18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EFA2434-6CE8-4F36-9D0E-F522E25D3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466725</xdr:colOff>
      <xdr:row>19</xdr:row>
      <xdr:rowOff>171450</xdr:rowOff>
    </xdr:from>
    <xdr:to>
      <xdr:col>29</xdr:col>
      <xdr:colOff>609600</xdr:colOff>
      <xdr:row>35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06B233D-AB0F-4774-B22A-6D62E8993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A09-71DA-43C4-A13D-28C1C95C47BB}">
  <dimension ref="A1:G1001"/>
  <sheetViews>
    <sheetView tabSelected="1" topLeftCell="A4" workbookViewId="0">
      <selection activeCell="AF20" sqref="AF20"/>
    </sheetView>
  </sheetViews>
  <sheetFormatPr defaultColWidth="14.42578125" defaultRowHeight="15" customHeight="1" x14ac:dyDescent="0.25"/>
  <cols>
    <col min="1" max="2" width="8.7109375" customWidth="1"/>
    <col min="3" max="3" width="12.140625" customWidth="1"/>
    <col min="4" max="4" width="13.7109375" customWidth="1"/>
    <col min="5" max="5" width="13.5703125" customWidth="1"/>
    <col min="6" max="6" width="11.140625" customWidth="1"/>
    <col min="7" max="7" width="11.5703125" customWidth="1"/>
    <col min="8" max="25" width="8.7109375" customWidth="1"/>
  </cols>
  <sheetData>
    <row r="1" spans="1:7" ht="14.25" customHeight="1" x14ac:dyDescent="0.25">
      <c r="A1" s="9" t="s">
        <v>18</v>
      </c>
      <c r="B1" s="9"/>
      <c r="C1" s="9" t="s">
        <v>17</v>
      </c>
      <c r="D1" s="9" t="s">
        <v>16</v>
      </c>
      <c r="E1" s="9" t="s">
        <v>15</v>
      </c>
      <c r="F1" s="9" t="s">
        <v>14</v>
      </c>
      <c r="G1" s="9" t="s">
        <v>13</v>
      </c>
    </row>
    <row r="2" spans="1:7" ht="14.25" customHeight="1" x14ac:dyDescent="0.25">
      <c r="A2" s="10"/>
      <c r="B2" s="10"/>
      <c r="C2" s="9" t="s">
        <v>19</v>
      </c>
      <c r="D2" s="9" t="s">
        <v>20</v>
      </c>
      <c r="E2" s="9" t="s">
        <v>21</v>
      </c>
      <c r="F2" s="9" t="s">
        <v>22</v>
      </c>
      <c r="G2" s="9"/>
    </row>
    <row r="3" spans="1:7" ht="14.25" customHeight="1" x14ac:dyDescent="0.25">
      <c r="A3" s="8" t="s">
        <v>12</v>
      </c>
      <c r="B3" s="8" t="s">
        <v>6</v>
      </c>
      <c r="C3" s="7">
        <v>4.7199999999999999E-2</v>
      </c>
      <c r="D3" s="7">
        <v>1.8700000000000001E-2</v>
      </c>
      <c r="E3" s="7">
        <v>5.6500000000000002E-2</v>
      </c>
      <c r="F3" s="7">
        <v>1.17E-2</v>
      </c>
      <c r="G3" s="7">
        <v>0.45019999999999999</v>
      </c>
    </row>
    <row r="4" spans="1:7" ht="14.25" customHeight="1" x14ac:dyDescent="0.25">
      <c r="B4" s="1" t="s">
        <v>5</v>
      </c>
      <c r="C4" s="6">
        <v>4.5900000000000003E-2</v>
      </c>
      <c r="D4" s="6">
        <v>1.9300000000000001E-2</v>
      </c>
      <c r="E4" s="6">
        <v>5.3199999999999997E-2</v>
      </c>
      <c r="F4" s="6">
        <v>1.1299999999999999E-2</v>
      </c>
      <c r="G4" s="6">
        <v>0.4632</v>
      </c>
    </row>
    <row r="5" spans="1:7" ht="14.25" customHeight="1" x14ac:dyDescent="0.25">
      <c r="B5" s="1" t="s">
        <v>4</v>
      </c>
      <c r="C5" s="5">
        <f>C4-C3</f>
        <v>-1.2999999999999956E-3</v>
      </c>
      <c r="D5" s="5">
        <f>D4-D3</f>
        <v>5.9999999999999984E-4</v>
      </c>
      <c r="E5" s="5">
        <f>E4-E3</f>
        <v>-3.3000000000000043E-3</v>
      </c>
      <c r="F5" s="5">
        <f>F4-F3</f>
        <v>-4.0000000000000105E-4</v>
      </c>
      <c r="G5" s="5">
        <f>G4-G3</f>
        <v>1.3000000000000012E-2</v>
      </c>
    </row>
    <row r="6" spans="1:7" ht="14.25" customHeight="1" x14ac:dyDescent="0.25">
      <c r="B6" s="1" t="s">
        <v>3</v>
      </c>
      <c r="C6" s="4">
        <f>(C4-C3)/C3</f>
        <v>-2.7542372881355838E-2</v>
      </c>
      <c r="D6" s="4">
        <f>(D4-D3)/D3</f>
        <v>3.2085561497326193E-2</v>
      </c>
      <c r="E6" s="4">
        <f>(E4-E3)/E3</f>
        <v>-5.8407079646017775E-2</v>
      </c>
      <c r="F6" s="4">
        <f>(F4-F3)/F3</f>
        <v>-3.4188034188034275E-2</v>
      </c>
      <c r="G6" s="4">
        <f>(G4-G3)/G3</f>
        <v>2.8876055086628192E-2</v>
      </c>
    </row>
    <row r="7" spans="1:7" ht="14.25" customHeight="1" x14ac:dyDescent="0.25">
      <c r="B7" s="1" t="s">
        <v>2</v>
      </c>
      <c r="C7" s="1">
        <v>8.0999999999999996E-4</v>
      </c>
      <c r="D7" s="1">
        <v>1.2600000000000001E-3</v>
      </c>
      <c r="E7" s="1">
        <v>1.17E-3</v>
      </c>
      <c r="F7" s="1">
        <v>1.72E-3</v>
      </c>
      <c r="G7" s="1">
        <v>3.48E-3</v>
      </c>
    </row>
    <row r="8" spans="1:7" ht="14.25" customHeight="1" x14ac:dyDescent="0.25">
      <c r="A8" s="1" t="s">
        <v>1</v>
      </c>
      <c r="B8" s="1" t="s">
        <v>0</v>
      </c>
      <c r="C8" s="3">
        <f>(SQRT(2)*C7)/C3</f>
        <v>2.4269342913606082E-2</v>
      </c>
      <c r="D8" s="3">
        <f>(SQRT(2)*D7)/D3</f>
        <v>9.5289256074336887E-2</v>
      </c>
      <c r="E8" s="3">
        <f>(SQRT(2)*E7)/E3</f>
        <v>2.9285484388964979E-2</v>
      </c>
      <c r="F8" s="3">
        <f>(SQRT(2)*F7)/F3</f>
        <v>0.2079014809642499</v>
      </c>
      <c r="G8" s="3">
        <f>(SQRT(2)*G7)/G3</f>
        <v>1.0931726337313132E-2</v>
      </c>
    </row>
    <row r="9" spans="1:7" ht="14.25" customHeight="1" x14ac:dyDescent="0.25">
      <c r="A9" s="8" t="s">
        <v>11</v>
      </c>
      <c r="B9" s="8" t="s">
        <v>6</v>
      </c>
      <c r="C9" s="7">
        <v>7.17E-2</v>
      </c>
      <c r="D9" s="7">
        <v>1.0699999999999999E-2</v>
      </c>
      <c r="E9" s="7">
        <v>1.9800000000000002E-2</v>
      </c>
      <c r="F9" s="7">
        <v>2.8999999999999998E-3</v>
      </c>
      <c r="G9" s="7">
        <v>0.5212</v>
      </c>
    </row>
    <row r="10" spans="1:7" ht="14.25" customHeight="1" x14ac:dyDescent="0.25">
      <c r="B10" s="1" t="s">
        <v>5</v>
      </c>
      <c r="C10" s="6">
        <v>7.0499999999999993E-2</v>
      </c>
      <c r="D10" s="6">
        <v>1.14E-2</v>
      </c>
      <c r="E10" s="6">
        <v>1.95E-2</v>
      </c>
      <c r="F10" s="6">
        <v>2.3E-3</v>
      </c>
      <c r="G10" s="6">
        <v>0.53120000000000001</v>
      </c>
    </row>
    <row r="11" spans="1:7" ht="14.25" customHeight="1" x14ac:dyDescent="0.25">
      <c r="B11" s="1" t="s">
        <v>4</v>
      </c>
      <c r="C11" s="5">
        <f>C10-C9</f>
        <v>-1.2000000000000066E-3</v>
      </c>
      <c r="D11" s="5">
        <f>D10-D9</f>
        <v>7.0000000000000097E-4</v>
      </c>
      <c r="E11" s="5">
        <f>E10-E9</f>
        <v>-3.0000000000000165E-4</v>
      </c>
      <c r="F11" s="5">
        <f>F10-F9</f>
        <v>-5.9999999999999984E-4</v>
      </c>
      <c r="G11" s="5">
        <f>G10-G9</f>
        <v>1.0000000000000009E-2</v>
      </c>
    </row>
    <row r="12" spans="1:7" ht="14.25" customHeight="1" x14ac:dyDescent="0.25">
      <c r="B12" s="1" t="s">
        <v>3</v>
      </c>
      <c r="C12" s="4">
        <f>(C10-C9)/C9</f>
        <v>-1.673640167364026E-2</v>
      </c>
      <c r="D12" s="4">
        <f>(D10-D9)/D9</f>
        <v>6.5420560747663642E-2</v>
      </c>
      <c r="E12" s="4">
        <f>(E10-E9)/E9</f>
        <v>-1.5151515151515233E-2</v>
      </c>
      <c r="F12" s="4">
        <f>(F10-F9)/F9</f>
        <v>-0.2068965517241379</v>
      </c>
      <c r="G12" s="4">
        <f>(G10-G9)/G9</f>
        <v>1.9186492709132787E-2</v>
      </c>
    </row>
    <row r="13" spans="1:7" ht="14.25" customHeight="1" x14ac:dyDescent="0.25">
      <c r="B13" s="1" t="s">
        <v>2</v>
      </c>
      <c r="C13" s="1">
        <v>8.0999999999999996E-4</v>
      </c>
      <c r="D13" s="1">
        <v>1.2600000000000001E-3</v>
      </c>
      <c r="E13" s="1">
        <v>1.17E-3</v>
      </c>
      <c r="F13" s="1">
        <v>1.72E-3</v>
      </c>
      <c r="G13" s="1">
        <v>3.48E-3</v>
      </c>
    </row>
    <row r="14" spans="1:7" ht="14.25" customHeight="1" x14ac:dyDescent="0.25">
      <c r="A14" s="1" t="s">
        <v>1</v>
      </c>
      <c r="B14" s="1" t="s">
        <v>0</v>
      </c>
      <c r="C14" s="3">
        <f>(SQRT(2)*C13)/C9</f>
        <v>1.5976471206725341E-2</v>
      </c>
      <c r="D14" s="3">
        <f>(SQRT(2)*D13)/D9</f>
        <v>0.16653355968131778</v>
      </c>
      <c r="E14" s="3">
        <f>(SQRT(2)*E13)/E9</f>
        <v>8.3567165049319256E-2</v>
      </c>
      <c r="F14" s="3">
        <f>(SQRT(2)*F13)/F9</f>
        <v>0.83877494044197376</v>
      </c>
      <c r="G14" s="3">
        <f>(SQRT(2)*G13)/G9</f>
        <v>9.4425617748625703E-3</v>
      </c>
    </row>
    <row r="15" spans="1:7" ht="14.25" customHeight="1" x14ac:dyDescent="0.25">
      <c r="A15" s="8" t="s">
        <v>10</v>
      </c>
      <c r="B15" s="8" t="s">
        <v>6</v>
      </c>
      <c r="C15" s="7">
        <v>2.63E-2</v>
      </c>
      <c r="D15" s="7">
        <v>2.98E-2</v>
      </c>
      <c r="E15" s="7">
        <v>6.8500000000000005E-2</v>
      </c>
      <c r="F15" s="7">
        <v>2.8899999999999999E-2</v>
      </c>
      <c r="G15" s="7">
        <v>0.40629999999999999</v>
      </c>
    </row>
    <row r="16" spans="1:7" ht="14.25" customHeight="1" x14ac:dyDescent="0.25">
      <c r="B16" s="1" t="s">
        <v>5</v>
      </c>
      <c r="C16" s="6">
        <v>2.53E-2</v>
      </c>
      <c r="D16" s="6">
        <v>2.7400000000000001E-2</v>
      </c>
      <c r="E16" s="6">
        <v>6.7799999999999999E-2</v>
      </c>
      <c r="F16" s="6">
        <v>2.6499999999999999E-2</v>
      </c>
      <c r="G16" s="6">
        <v>0.44009999999999999</v>
      </c>
    </row>
    <row r="17" spans="1:7" ht="14.25" customHeight="1" x14ac:dyDescent="0.25">
      <c r="B17" s="1" t="s">
        <v>4</v>
      </c>
      <c r="C17" s="5">
        <f>C16-C15</f>
        <v>-1.0000000000000009E-3</v>
      </c>
      <c r="D17" s="5">
        <f>D16-D15</f>
        <v>-2.3999999999999994E-3</v>
      </c>
      <c r="E17" s="5">
        <f>E16-E15</f>
        <v>-7.0000000000000617E-4</v>
      </c>
      <c r="F17" s="5">
        <f>F16-F15</f>
        <v>-2.3999999999999994E-3</v>
      </c>
      <c r="G17" s="5">
        <f>G16-G15</f>
        <v>3.3799999999999997E-2</v>
      </c>
    </row>
    <row r="18" spans="1:7" ht="14.25" customHeight="1" x14ac:dyDescent="0.25">
      <c r="B18" s="1" t="s">
        <v>3</v>
      </c>
      <c r="C18" s="4">
        <f>(C16-C15)/C15</f>
        <v>-3.8022813688212961E-2</v>
      </c>
      <c r="D18" s="4">
        <f>(D16-D15)/D15</f>
        <v>-8.0536912751677833E-2</v>
      </c>
      <c r="E18" s="4">
        <f>(E16-E15)/E15</f>
        <v>-1.021897810218987E-2</v>
      </c>
      <c r="F18" s="4">
        <f>(F16-F15)/F15</f>
        <v>-8.3044982698961919E-2</v>
      </c>
      <c r="G18" s="4">
        <f>(G16-G15)/G15</f>
        <v>8.3189761260152595E-2</v>
      </c>
    </row>
    <row r="19" spans="1:7" ht="14.25" customHeight="1" x14ac:dyDescent="0.25">
      <c r="B19" s="1" t="s">
        <v>2</v>
      </c>
      <c r="C19" s="1">
        <v>8.0999999999999996E-4</v>
      </c>
      <c r="D19" s="1">
        <v>1.2600000000000001E-3</v>
      </c>
      <c r="E19" s="1">
        <v>1.17E-3</v>
      </c>
      <c r="F19" s="1">
        <v>1.72E-3</v>
      </c>
      <c r="G19" s="1">
        <v>3.48E-3</v>
      </c>
    </row>
    <row r="20" spans="1:7" ht="14.25" customHeight="1" x14ac:dyDescent="0.25">
      <c r="A20" s="1" t="s">
        <v>1</v>
      </c>
      <c r="B20" s="1" t="s">
        <v>0</v>
      </c>
      <c r="C20" s="3">
        <f>(SQRT(2)*C19)/C15</f>
        <v>4.3555626825939428E-2</v>
      </c>
      <c r="D20" s="3">
        <f>(SQRT(2)*D19)/D15</f>
        <v>5.9795606999667787E-2</v>
      </c>
      <c r="E20" s="3">
        <f>(SQRT(2)*E19)/E15</f>
        <v>2.4155180554401769E-2</v>
      </c>
      <c r="F20" s="3">
        <f>(SQRT(2)*F19)/F15</f>
        <v>8.4167727587602909E-2</v>
      </c>
      <c r="G20" s="3">
        <f>(SQRT(2)*G19)/G15</f>
        <v>1.211288013058915E-2</v>
      </c>
    </row>
    <row r="21" spans="1:7" ht="14.25" customHeight="1" x14ac:dyDescent="0.25">
      <c r="A21" s="8" t="s">
        <v>9</v>
      </c>
      <c r="B21" s="8" t="s">
        <v>6</v>
      </c>
      <c r="C21" s="7">
        <v>6.8699999999999997E-2</v>
      </c>
      <c r="D21" s="7">
        <v>1.09E-2</v>
      </c>
      <c r="E21" s="7">
        <v>3.3000000000000002E-2</v>
      </c>
      <c r="F21" s="7">
        <v>4.3E-3</v>
      </c>
      <c r="G21" s="7">
        <v>0.49170000000000003</v>
      </c>
    </row>
    <row r="22" spans="1:7" ht="14.25" customHeight="1" x14ac:dyDescent="0.25">
      <c r="B22" s="1" t="s">
        <v>5</v>
      </c>
      <c r="C22" s="6">
        <v>6.8699999999999997E-2</v>
      </c>
      <c r="D22" s="6">
        <v>1.37E-2</v>
      </c>
      <c r="E22" s="6">
        <v>3.0300000000000001E-2</v>
      </c>
      <c r="F22" s="6">
        <v>4.0000000000000001E-3</v>
      </c>
      <c r="G22" s="6">
        <v>0.49909999999999999</v>
      </c>
    </row>
    <row r="23" spans="1:7" ht="14.25" customHeight="1" x14ac:dyDescent="0.25">
      <c r="B23" s="1" t="s">
        <v>4</v>
      </c>
      <c r="C23" s="5">
        <f>C22-C21</f>
        <v>0</v>
      </c>
      <c r="D23" s="5">
        <f>D22-D21</f>
        <v>2.8000000000000004E-3</v>
      </c>
      <c r="E23" s="5">
        <f>E22-E21</f>
        <v>-2.700000000000001E-3</v>
      </c>
      <c r="F23" s="5">
        <f>F22-F21</f>
        <v>-2.9999999999999992E-4</v>
      </c>
      <c r="G23" s="5">
        <f>G22-G21</f>
        <v>7.3999999999999622E-3</v>
      </c>
    </row>
    <row r="24" spans="1:7" ht="14.25" customHeight="1" x14ac:dyDescent="0.25">
      <c r="B24" s="1" t="s">
        <v>3</v>
      </c>
      <c r="C24" s="4">
        <f>(C22-C21)/C21</f>
        <v>0</v>
      </c>
      <c r="D24" s="4">
        <f>(D22-D21)/D21</f>
        <v>0.25688073394495414</v>
      </c>
      <c r="E24" s="4">
        <f>(E22-E21)/E21</f>
        <v>-8.1818181818181845E-2</v>
      </c>
      <c r="F24" s="4">
        <f>(F22-F21)/F21</f>
        <v>-6.9767441860465101E-2</v>
      </c>
      <c r="G24" s="4">
        <f>(G22-G21)/G21</f>
        <v>1.5049827130363966E-2</v>
      </c>
    </row>
    <row r="25" spans="1:7" ht="14.25" customHeight="1" x14ac:dyDescent="0.25">
      <c r="B25" s="1" t="s">
        <v>2</v>
      </c>
      <c r="C25" s="1">
        <v>8.0999999999999996E-4</v>
      </c>
      <c r="D25" s="1">
        <v>1.2600000000000001E-3</v>
      </c>
      <c r="E25" s="1">
        <v>1.17E-3</v>
      </c>
      <c r="F25" s="1">
        <v>1.72E-3</v>
      </c>
      <c r="G25" s="1">
        <v>3.48E-3</v>
      </c>
    </row>
    <row r="26" spans="1:7" ht="14.25" customHeight="1" x14ac:dyDescent="0.25">
      <c r="A26" s="1" t="s">
        <v>1</v>
      </c>
      <c r="B26" s="1" t="s">
        <v>0</v>
      </c>
      <c r="C26" s="3">
        <f>(SQRT(2)*C25)/C21</f>
        <v>1.6674133704835621E-2</v>
      </c>
      <c r="D26" s="3">
        <f>(SQRT(2)*D25)/D21</f>
        <v>0.16347789803578899</v>
      </c>
      <c r="E26" s="3">
        <f>(SQRT(2)*E25)/E21</f>
        <v>5.0140299029591551E-2</v>
      </c>
      <c r="F26" s="3">
        <f>(SQRT(2)*F25)/F21</f>
        <v>0.56568542494923812</v>
      </c>
      <c r="G26" s="3">
        <f>(SQRT(2)*G25)/G21</f>
        <v>1.0009077073537464E-2</v>
      </c>
    </row>
    <row r="27" spans="1:7" ht="14.25" customHeight="1" x14ac:dyDescent="0.25">
      <c r="A27" s="8" t="s">
        <v>8</v>
      </c>
      <c r="B27" s="8" t="s">
        <v>6</v>
      </c>
      <c r="C27" s="7">
        <v>1.0500000000000001E-2</v>
      </c>
      <c r="D27" s="7">
        <v>2.7199999999999998E-2</v>
      </c>
      <c r="E27" s="7">
        <v>6.54E-2</v>
      </c>
      <c r="F27" s="7">
        <v>0.14319999999999999</v>
      </c>
      <c r="G27" s="7">
        <v>0.2898</v>
      </c>
    </row>
    <row r="28" spans="1:7" ht="14.25" customHeight="1" x14ac:dyDescent="0.25">
      <c r="B28" s="1" t="s">
        <v>5</v>
      </c>
      <c r="C28" s="6">
        <v>1.11E-2</v>
      </c>
      <c r="D28" s="6">
        <v>2.8400000000000002E-2</v>
      </c>
      <c r="E28" s="6">
        <v>6.0299999999999999E-2</v>
      </c>
      <c r="F28" s="6">
        <v>0.14249999999999999</v>
      </c>
      <c r="G28" s="6">
        <v>0.29659999999999997</v>
      </c>
    </row>
    <row r="29" spans="1:7" ht="14.25" customHeight="1" x14ac:dyDescent="0.25">
      <c r="B29" s="1" t="s">
        <v>4</v>
      </c>
      <c r="C29" s="5">
        <f>C28-C27</f>
        <v>5.9999999999999984E-4</v>
      </c>
      <c r="D29" s="5">
        <f>D28-D27</f>
        <v>1.2000000000000031E-3</v>
      </c>
      <c r="E29" s="5">
        <f>E28-E27</f>
        <v>-5.1000000000000004E-3</v>
      </c>
      <c r="F29" s="5">
        <f>F28-F27</f>
        <v>-7.0000000000000617E-4</v>
      </c>
      <c r="G29" s="5">
        <f>G28-G27</f>
        <v>6.7999999999999727E-3</v>
      </c>
    </row>
    <row r="30" spans="1:7" ht="14.25" customHeight="1" x14ac:dyDescent="0.25">
      <c r="B30" s="1" t="s">
        <v>3</v>
      </c>
      <c r="C30" s="4">
        <f>(C28-C27)/C27</f>
        <v>5.7142857142857127E-2</v>
      </c>
      <c r="D30" s="4">
        <f>(D28-D27)/D27</f>
        <v>4.411764705882365E-2</v>
      </c>
      <c r="E30" s="4">
        <f>(E28-E27)/E27</f>
        <v>-7.7981651376146793E-2</v>
      </c>
      <c r="F30" s="4">
        <f>(F28-F27)/F27</f>
        <v>-4.8882681564246244E-3</v>
      </c>
      <c r="G30" s="4">
        <f>(G28-G27)/G27</f>
        <v>2.346445824706685E-2</v>
      </c>
    </row>
    <row r="31" spans="1:7" ht="14.25" customHeight="1" x14ac:dyDescent="0.25">
      <c r="B31" s="1" t="s">
        <v>2</v>
      </c>
      <c r="C31" s="1">
        <v>8.0999999999999996E-4</v>
      </c>
      <c r="D31" s="1">
        <v>1.2600000000000001E-3</v>
      </c>
      <c r="E31" s="1">
        <v>1.17E-3</v>
      </c>
      <c r="F31" s="1">
        <v>1.72E-3</v>
      </c>
      <c r="G31" s="1">
        <v>3.48E-3</v>
      </c>
    </row>
    <row r="32" spans="1:7" ht="14.25" customHeight="1" x14ac:dyDescent="0.25">
      <c r="A32" s="1" t="s">
        <v>1</v>
      </c>
      <c r="B32" s="1" t="s">
        <v>0</v>
      </c>
      <c r="C32" s="3">
        <f>(SQRT(2)*C31)/C27</f>
        <v>0.10909647481163876</v>
      </c>
      <c r="D32" s="3">
        <f>(SQRT(2)*D31)/D27</f>
        <v>6.5511363551106622E-2</v>
      </c>
      <c r="E32" s="3">
        <f>(SQRT(2)*E31)/E27</f>
        <v>2.5300150886491152E-2</v>
      </c>
      <c r="F32" s="3">
        <f>(SQRT(2)*F31)/F27</f>
        <v>1.6986364017330474E-2</v>
      </c>
      <c r="G32" s="3">
        <f>(SQRT(2)*G31)/G27</f>
        <v>1.6982274662037167E-2</v>
      </c>
    </row>
    <row r="33" spans="1:7" ht="14.25" customHeight="1" x14ac:dyDescent="0.25">
      <c r="A33" s="8" t="s">
        <v>7</v>
      </c>
      <c r="B33" s="8" t="s">
        <v>6</v>
      </c>
      <c r="C33" s="7">
        <v>1.6E-2</v>
      </c>
      <c r="D33" s="7">
        <v>2.1299999999999999E-2</v>
      </c>
      <c r="E33" s="7">
        <v>0.1158</v>
      </c>
      <c r="F33" s="7">
        <v>0.12670000000000001</v>
      </c>
      <c r="G33" s="7">
        <v>0.2359</v>
      </c>
    </row>
    <row r="34" spans="1:7" ht="14.25" customHeight="1" x14ac:dyDescent="0.25">
      <c r="B34" s="1" t="s">
        <v>5</v>
      </c>
      <c r="C34" s="6">
        <v>1.5599999999999999E-2</v>
      </c>
      <c r="D34" s="6">
        <v>2.3099999999999999E-2</v>
      </c>
      <c r="E34" s="6">
        <v>0.10929999999999999</v>
      </c>
      <c r="F34" s="6">
        <v>0.1225</v>
      </c>
      <c r="G34" s="6">
        <v>0.26200000000000001</v>
      </c>
    </row>
    <row r="35" spans="1:7" ht="14.25" customHeight="1" x14ac:dyDescent="0.25">
      <c r="B35" s="1" t="s">
        <v>4</v>
      </c>
      <c r="C35" s="5">
        <f>C34-C33</f>
        <v>-4.0000000000000105E-4</v>
      </c>
      <c r="D35" s="5">
        <f>D34-D33</f>
        <v>1.7999999999999995E-3</v>
      </c>
      <c r="E35" s="5">
        <f>E34-E33</f>
        <v>-6.5000000000000058E-3</v>
      </c>
      <c r="F35" s="5">
        <f>F34-F33</f>
        <v>-4.2000000000000093E-3</v>
      </c>
      <c r="G35" s="5">
        <f>G34-G33</f>
        <v>2.6100000000000012E-2</v>
      </c>
    </row>
    <row r="36" spans="1:7" ht="14.25" customHeight="1" x14ac:dyDescent="0.25">
      <c r="B36" s="1" t="s">
        <v>3</v>
      </c>
      <c r="C36" s="4">
        <f>(C34-C33)/C33</f>
        <v>-2.5000000000000064E-2</v>
      </c>
      <c r="D36" s="4">
        <f>(D34-D33)/D33</f>
        <v>8.4507042253521111E-2</v>
      </c>
      <c r="E36" s="4">
        <f>(E34-E33)/E33</f>
        <v>-5.6131260794473281E-2</v>
      </c>
      <c r="F36" s="4">
        <f>(F34-F33)/F33</f>
        <v>-3.31491712707183E-2</v>
      </c>
      <c r="G36" s="4">
        <f>(G34-G33)/G33</f>
        <v>0.11064010173802463</v>
      </c>
    </row>
    <row r="37" spans="1:7" ht="14.25" customHeight="1" x14ac:dyDescent="0.25">
      <c r="B37" s="1" t="s">
        <v>2</v>
      </c>
      <c r="C37" s="1">
        <v>8.0999999999999996E-4</v>
      </c>
      <c r="D37" s="1">
        <v>1.2600000000000001E-3</v>
      </c>
      <c r="E37" s="1">
        <v>1.17E-3</v>
      </c>
      <c r="F37" s="1">
        <v>1.72E-3</v>
      </c>
      <c r="G37" s="1">
        <v>3.48E-3</v>
      </c>
    </row>
    <row r="38" spans="1:7" ht="14.25" customHeight="1" x14ac:dyDescent="0.25">
      <c r="A38" s="1" t="s">
        <v>1</v>
      </c>
      <c r="B38" s="1" t="s">
        <v>0</v>
      </c>
      <c r="C38" s="3">
        <f>(SQRT(2)*C37)/C33</f>
        <v>7.159456159513794E-2</v>
      </c>
      <c r="D38" s="3">
        <f>(SQRT(2)*D37)/D33</f>
        <v>8.3657703689676066E-2</v>
      </c>
      <c r="E38" s="3">
        <f>(SQRT(2)*E37)/E33</f>
        <v>1.4288686251956142E-2</v>
      </c>
      <c r="F38" s="3">
        <f>(SQRT(2)*F37)/F33</f>
        <v>1.9198479299776826E-2</v>
      </c>
      <c r="G38" s="3">
        <f>(SQRT(2)*G37)/G33</f>
        <v>2.086249765603379E-2</v>
      </c>
    </row>
    <row r="39" spans="1:7" ht="14.25" customHeight="1" x14ac:dyDescent="0.25">
      <c r="C39" s="2"/>
      <c r="D39" s="2"/>
      <c r="E39" s="2"/>
      <c r="F39" s="2"/>
      <c r="G39" s="2"/>
    </row>
    <row r="40" spans="1:7" ht="14.25" customHeight="1" x14ac:dyDescent="0.25"/>
    <row r="41" spans="1:7" ht="14.25" customHeight="1" x14ac:dyDescent="0.25"/>
    <row r="42" spans="1:7" ht="14.25" customHeight="1" x14ac:dyDescent="0.25"/>
    <row r="43" spans="1:7" ht="14.25" customHeight="1" x14ac:dyDescent="0.25">
      <c r="C43" s="1"/>
      <c r="D43" s="1"/>
      <c r="E43" s="1"/>
      <c r="F43" s="1"/>
      <c r="G43" s="1"/>
    </row>
    <row r="44" spans="1:7" ht="14.25" customHeight="1" x14ac:dyDescent="0.25"/>
    <row r="45" spans="1:7" ht="14.25" customHeight="1" x14ac:dyDescent="0.25">
      <c r="C45" s="1"/>
      <c r="D45" s="1"/>
      <c r="E45" s="1"/>
      <c r="F45" s="1"/>
      <c r="G45" s="1"/>
    </row>
    <row r="46" spans="1:7" ht="14.25" customHeight="1" x14ac:dyDescent="0.25"/>
    <row r="47" spans="1:7" ht="14.25" customHeight="1" x14ac:dyDescent="0.25">
      <c r="C47" s="1"/>
      <c r="D47" s="1"/>
      <c r="E47" s="1"/>
      <c r="F47" s="1"/>
      <c r="G47" s="1"/>
    </row>
    <row r="48" spans="1:7" ht="14.25" customHeight="1" x14ac:dyDescent="0.25"/>
    <row r="49" spans="3:7" ht="14.25" customHeight="1" x14ac:dyDescent="0.25">
      <c r="C49" s="1"/>
      <c r="D49" s="1"/>
      <c r="E49" s="1"/>
      <c r="F49" s="1"/>
      <c r="G49" s="1"/>
    </row>
    <row r="50" spans="3:7" ht="14.25" customHeight="1" x14ac:dyDescent="0.25"/>
    <row r="51" spans="3:7" ht="14.25" customHeight="1" x14ac:dyDescent="0.25">
      <c r="C51" s="1"/>
      <c r="D51" s="1"/>
      <c r="E51" s="1"/>
      <c r="F51" s="1"/>
      <c r="G51" s="1"/>
    </row>
    <row r="52" spans="3:7" ht="14.25" customHeight="1" x14ac:dyDescent="0.25"/>
    <row r="53" spans="3:7" ht="14.25" customHeight="1" x14ac:dyDescent="0.25">
      <c r="C53" s="1"/>
      <c r="D53" s="1"/>
      <c r="E53" s="1"/>
      <c r="F53" s="1"/>
      <c r="G53" s="1"/>
    </row>
    <row r="54" spans="3:7" ht="14.25" customHeight="1" x14ac:dyDescent="0.25"/>
    <row r="55" spans="3:7" ht="14.25" customHeight="1" x14ac:dyDescent="0.25"/>
    <row r="56" spans="3:7" ht="14.25" customHeight="1" x14ac:dyDescent="0.25"/>
    <row r="57" spans="3:7" ht="14.25" customHeight="1" x14ac:dyDescent="0.25"/>
    <row r="58" spans="3:7" ht="14.25" customHeight="1" x14ac:dyDescent="0.25"/>
    <row r="59" spans="3:7" ht="14.25" customHeight="1" x14ac:dyDescent="0.25"/>
    <row r="60" spans="3:7" ht="14.25" customHeight="1" x14ac:dyDescent="0.25"/>
    <row r="61" spans="3:7" ht="14.25" customHeight="1" x14ac:dyDescent="0.25"/>
    <row r="62" spans="3:7" ht="14.25" customHeight="1" x14ac:dyDescent="0.25"/>
    <row r="63" spans="3:7" ht="14.25" customHeight="1" x14ac:dyDescent="0.25"/>
    <row r="64" spans="3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Change avg STD</vt:lpstr>
    </vt:vector>
  </TitlesOfParts>
  <Company>Rowan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Lofland, Samuel E.</dc:creator>
  <cp:lastModifiedBy>Lofland, Samuel E.</cp:lastModifiedBy>
  <dcterms:created xsi:type="dcterms:W3CDTF">2026-07-11T13:38:56Z</dcterms:created>
  <dcterms:modified xsi:type="dcterms:W3CDTF">2026-07-11T16:01:12Z</dcterms:modified>
</cp:coreProperties>
</file>